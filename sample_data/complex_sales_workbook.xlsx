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Monthly_Summary" sheetId="2" state="visible" r:id="rId2"/>
    <sheet name="Inventory" sheetId="3" state="visible" r:id="rId3"/>
    <sheet name="Meta_Config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</author>
  </authors>
  <commentList>
    <comment ref="E6" authorId="0" shapeId="0">
      <text>
        <t>High-touch implementation project</t>
      </text>
    </comment>
  </commentList>
</comments>
</file>

<file path=xl/tables/table1.xml><?xml version="1.0" encoding="utf-8"?>
<table xmlns="http://schemas.openxmlformats.org/spreadsheetml/2006/main" id="1" name="tbl_orders" displayName="tbl_orders" ref="A3:J15" headerRowCount="1">
  <autoFilter ref="A3:J15"/>
  <tableColumns count="10">
    <tableColumn id="1" name="OrderID"/>
    <tableColumn id="2" name="OrderDate"/>
    <tableColumn id="3" name="Region"/>
    <tableColumn id="4" name="SalesRep"/>
    <tableColumn id="5" name="Product"/>
    <tableColumn id="6" name="Units"/>
    <tableColumn id="7" name="UnitPrice"/>
    <tableColumn id="8" name="DiscountPct"/>
    <tableColumn id="9" name="NetRevenue"/>
    <tableColumn id="10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monthly_summary" displayName="tbl_monthly_summary" ref="A3:F9" headerRowCount="1">
  <autoFilter ref="A3:F9"/>
  <tableColumns count="6">
    <tableColumn id="1" name="Month"/>
    <tableColumn id="2" name="Orders"/>
    <tableColumn id="3" name="GrossRevenue"/>
    <tableColumn id="4" name="ClosedRevenue"/>
    <tableColumn id="5" name="Target"/>
    <tableColumn id="6" name="Variance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bl_inventory" displayName="tbl_inventory" ref="A1:G7" headerRowCount="1">
  <autoFilter ref="A1:G7"/>
  <tableColumns count="7">
    <tableColumn id="1" name="SKU"/>
    <tableColumn id="2" name="Category"/>
    <tableColumn id="3" name="OnHand"/>
    <tableColumn id="4" name="ReorderPoint"/>
    <tableColumn id="5" name="ReorderFlag"/>
    <tableColumn id="6" name="LastCounted"/>
    <tableColumn id="7" name="Wareho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hidden="1" width="13" customWidth="1" min="11" max="11"/>
    <col width="14" customWidth="1" min="12" max="12"/>
  </cols>
  <sheetData>
    <row r="1">
      <c r="A1" s="1" t="inlineStr">
        <is>
          <t>FY2025 Regional Orders</t>
        </is>
      </c>
    </row>
    <row r="3">
      <c r="A3" s="2" t="inlineStr">
        <is>
          <t>OrderID</t>
        </is>
      </c>
      <c r="B3" s="2" t="inlineStr">
        <is>
          <t>OrderDate</t>
        </is>
      </c>
      <c r="C3" s="2" t="inlineStr">
        <is>
          <t>Region</t>
        </is>
      </c>
      <c r="D3" s="2" t="inlineStr">
        <is>
          <t>SalesRep</t>
        </is>
      </c>
      <c r="E3" s="2" t="inlineStr">
        <is>
          <t>Product</t>
        </is>
      </c>
      <c r="F3" s="2" t="inlineStr">
        <is>
          <t>Units</t>
        </is>
      </c>
      <c r="G3" s="2" t="inlineStr">
        <is>
          <t>UnitPrice</t>
        </is>
      </c>
      <c r="H3" s="2" t="inlineStr">
        <is>
          <t>DiscountPct</t>
        </is>
      </c>
      <c r="I3" s="2" t="inlineStr">
        <is>
          <t>NetRevenue</t>
        </is>
      </c>
      <c r="J3" s="2" t="inlineStr">
        <is>
          <t>Status</t>
        </is>
      </c>
      <c r="L3" t="inlineStr">
        <is>
          <t>North Total</t>
        </is>
      </c>
    </row>
    <row r="4">
      <c r="A4" t="inlineStr">
        <is>
          <t>ORD-1001</t>
        </is>
      </c>
      <c r="B4" s="3" t="n">
        <v>45661</v>
      </c>
      <c r="C4" t="inlineStr">
        <is>
          <t>North</t>
        </is>
      </c>
      <c r="D4" t="inlineStr">
        <is>
          <t>A. Shah</t>
        </is>
      </c>
      <c r="E4" t="inlineStr">
        <is>
          <t>Widget-A</t>
        </is>
      </c>
      <c r="F4" t="n">
        <v>120</v>
      </c>
      <c r="G4" s="4" t="n">
        <v>19.99</v>
      </c>
      <c r="H4" s="5" t="n">
        <v>0.05</v>
      </c>
      <c r="I4" s="4">
        <f>F4*G4*(1-H4)</f>
        <v/>
      </c>
      <c r="J4" t="inlineStr">
        <is>
          <t>Closed</t>
        </is>
      </c>
      <c r="L4">
        <f>SUMIF(C4:C15,"North",I4:I15)</f>
        <v/>
      </c>
    </row>
    <row r="5">
      <c r="A5" t="inlineStr">
        <is>
          <t>ORD-1002</t>
        </is>
      </c>
      <c r="B5" s="3" t="n">
        <v>45667</v>
      </c>
      <c r="C5" t="inlineStr">
        <is>
          <t>South</t>
        </is>
      </c>
      <c r="D5" t="inlineStr">
        <is>
          <t>J. Kim</t>
        </is>
      </c>
      <c r="E5" t="inlineStr">
        <is>
          <t>Widget-B</t>
        </is>
      </c>
      <c r="F5" t="n">
        <v>80</v>
      </c>
      <c r="G5" s="4" t="n">
        <v>29.5</v>
      </c>
      <c r="H5" s="5" t="n">
        <v>0</v>
      </c>
      <c r="I5" s="4">
        <f>F5*G5*(1-H5)</f>
        <v/>
      </c>
      <c r="J5" t="inlineStr">
        <is>
          <t>Closed</t>
        </is>
      </c>
      <c r="L5" t="inlineStr">
        <is>
          <t>Closed Count</t>
        </is>
      </c>
    </row>
    <row r="6">
      <c r="A6" t="inlineStr">
        <is>
          <t>ORD-1003</t>
        </is>
      </c>
      <c r="B6" s="3" t="n">
        <v>45669</v>
      </c>
      <c r="C6" t="inlineStr">
        <is>
          <t>West</t>
        </is>
      </c>
      <c r="D6" t="inlineStr">
        <is>
          <t>P. Singh</t>
        </is>
      </c>
      <c r="E6" t="inlineStr">
        <is>
          <t>Service-X</t>
        </is>
      </c>
      <c r="F6" t="n">
        <v>15</v>
      </c>
      <c r="G6" s="4" t="n">
        <v>199</v>
      </c>
      <c r="H6" s="5" t="n">
        <v>0.1</v>
      </c>
      <c r="I6" s="4">
        <f>F6*G6*(1-H6)</f>
        <v/>
      </c>
      <c r="J6" t="inlineStr">
        <is>
          <t>Pending</t>
        </is>
      </c>
      <c r="L6">
        <f>COUNTIF(J4:J15,"Closed")</f>
        <v/>
      </c>
    </row>
    <row r="7">
      <c r="A7" t="inlineStr">
        <is>
          <t>ORD-1004</t>
        </is>
      </c>
      <c r="B7" s="3" t="n">
        <v>45689</v>
      </c>
      <c r="C7" t="inlineStr">
        <is>
          <t>East</t>
        </is>
      </c>
      <c r="D7" t="inlineStr">
        <is>
          <t>M. Rossi</t>
        </is>
      </c>
      <c r="E7" t="inlineStr">
        <is>
          <t>Widget-A</t>
        </is>
      </c>
      <c r="F7" t="n">
        <v>60</v>
      </c>
      <c r="G7" s="4" t="n">
        <v>19.99</v>
      </c>
      <c r="H7" s="5" t="n">
        <v>0.02</v>
      </c>
      <c r="I7" s="4">
        <f>F7*G7*(1-H7)</f>
        <v/>
      </c>
      <c r="J7" t="inlineStr">
        <is>
          <t>Closed</t>
        </is>
      </c>
      <c r="L7" t="inlineStr">
        <is>
          <t>Avg Discount</t>
        </is>
      </c>
    </row>
    <row r="8">
      <c r="A8" t="inlineStr">
        <is>
          <t>ORD-1005</t>
        </is>
      </c>
      <c r="B8" s="3" t="n">
        <v>45695</v>
      </c>
      <c r="C8" t="inlineStr">
        <is>
          <t>North</t>
        </is>
      </c>
      <c r="D8" t="inlineStr">
        <is>
          <t>L. Brown</t>
        </is>
      </c>
      <c r="E8" t="inlineStr">
        <is>
          <t>Bundle-Z</t>
        </is>
      </c>
      <c r="F8" t="n">
        <v>22</v>
      </c>
      <c r="G8" s="4" t="n">
        <v>349</v>
      </c>
      <c r="H8" s="5" t="n">
        <v>0.15</v>
      </c>
      <c r="I8" s="4">
        <f>F8*G8*(1-H8)</f>
        <v/>
      </c>
      <c r="J8" t="inlineStr">
        <is>
          <t>Cancelled</t>
        </is>
      </c>
      <c r="L8">
        <f>AVERAGE(H4:H15)</f>
        <v/>
      </c>
    </row>
    <row r="9" hidden="1">
      <c r="A9" t="inlineStr">
        <is>
          <t>ORD-1006</t>
        </is>
      </c>
      <c r="B9" s="3" t="n">
        <v>45709</v>
      </c>
      <c r="C9" t="inlineStr">
        <is>
          <t>South</t>
        </is>
      </c>
      <c r="D9" t="inlineStr">
        <is>
          <t>A. Shah</t>
        </is>
      </c>
      <c r="E9" t="inlineStr">
        <is>
          <t>Widget-C</t>
        </is>
      </c>
      <c r="F9" t="n">
        <v>140</v>
      </c>
      <c r="G9" s="4" t="n">
        <v>12.75</v>
      </c>
      <c r="H9" s="5" t="n">
        <v>0.03</v>
      </c>
      <c r="I9" s="4">
        <f>F9*G9*(1-H9)</f>
        <v/>
      </c>
      <c r="J9" t="inlineStr">
        <is>
          <t>Closed</t>
        </is>
      </c>
    </row>
    <row r="10">
      <c r="A10" t="inlineStr">
        <is>
          <t>ORD-1007</t>
        </is>
      </c>
      <c r="B10" s="3" t="n">
        <v>45719</v>
      </c>
      <c r="C10" t="inlineStr">
        <is>
          <t>West</t>
        </is>
      </c>
      <c r="D10" t="inlineStr">
        <is>
          <t>J. Kim</t>
        </is>
      </c>
      <c r="E10" t="inlineStr">
        <is>
          <t>Widget-B</t>
        </is>
      </c>
      <c r="F10" t="n">
        <v>95</v>
      </c>
      <c r="G10" s="4" t="n">
        <v>29.5</v>
      </c>
      <c r="H10" s="5" t="n">
        <v>0.07000000000000001</v>
      </c>
      <c r="I10" s="4">
        <f>F10*G10*(1-H10)</f>
        <v/>
      </c>
      <c r="J10" t="inlineStr">
        <is>
          <t>Closed</t>
        </is>
      </c>
      <c r="L10" t="inlineStr">
        <is>
          <t>Contains blank lines below for parser robustness</t>
        </is>
      </c>
    </row>
    <row r="11">
      <c r="A11" t="inlineStr">
        <is>
          <t>ORD-1008</t>
        </is>
      </c>
      <c r="B11" s="3" t="n">
        <v>45734</v>
      </c>
      <c r="C11" t="inlineStr">
        <is>
          <t>East</t>
        </is>
      </c>
      <c r="D11" t="inlineStr">
        <is>
          <t>P. Singh</t>
        </is>
      </c>
      <c r="E11" t="inlineStr">
        <is>
          <t>Service-X</t>
        </is>
      </c>
      <c r="F11" t="n">
        <v>9</v>
      </c>
      <c r="G11" s="4" t="n">
        <v>199</v>
      </c>
      <c r="H11" s="5" t="n">
        <v>0</v>
      </c>
      <c r="I11" s="4">
        <f>F11*G11*(1-H11)</f>
        <v/>
      </c>
      <c r="J11" t="inlineStr">
        <is>
          <t>Pending</t>
        </is>
      </c>
    </row>
    <row r="12">
      <c r="A12" t="inlineStr">
        <is>
          <t>ORD-1009</t>
        </is>
      </c>
      <c r="B12" s="3" t="n">
        <v>45749</v>
      </c>
      <c r="C12" t="inlineStr">
        <is>
          <t>North</t>
        </is>
      </c>
      <c r="D12" t="inlineStr">
        <is>
          <t>M. Rossi</t>
        </is>
      </c>
      <c r="E12" t="inlineStr">
        <is>
          <t>Widget-C</t>
        </is>
      </c>
      <c r="F12" t="n">
        <v>200</v>
      </c>
      <c r="G12" s="4" t="n">
        <v>12.75</v>
      </c>
      <c r="H12" s="5" t="n">
        <v>0.08</v>
      </c>
      <c r="I12" s="4">
        <f>F12*G12*(1-H12)</f>
        <v/>
      </c>
      <c r="J12" t="inlineStr">
        <is>
          <t>Closed</t>
        </is>
      </c>
    </row>
    <row r="13">
      <c r="A13" t="inlineStr">
        <is>
          <t>ORD-1010</t>
        </is>
      </c>
      <c r="B13" s="3" t="n">
        <v>45766</v>
      </c>
      <c r="C13" t="inlineStr">
        <is>
          <t>South</t>
        </is>
      </c>
      <c r="D13" t="inlineStr">
        <is>
          <t>L. Brown</t>
        </is>
      </c>
      <c r="E13" t="inlineStr">
        <is>
          <t>Bundle-Z</t>
        </is>
      </c>
      <c r="F13" t="n">
        <v>18</v>
      </c>
      <c r="G13" s="4" t="n">
        <v>349</v>
      </c>
      <c r="H13" s="5" t="n">
        <v>0.12</v>
      </c>
      <c r="I13" s="4">
        <f>F13*G13*(1-H13)</f>
        <v/>
      </c>
      <c r="J13" t="inlineStr">
        <is>
          <t>Closed</t>
        </is>
      </c>
    </row>
    <row r="14">
      <c r="A14" t="inlineStr">
        <is>
          <t>ORD-1011</t>
        </is>
      </c>
      <c r="B14" s="3" t="n">
        <v>45782</v>
      </c>
      <c r="C14" t="inlineStr">
        <is>
          <t>West</t>
        </is>
      </c>
      <c r="D14" t="inlineStr">
        <is>
          <t>A. Shah</t>
        </is>
      </c>
      <c r="E14" t="inlineStr">
        <is>
          <t>Widget-A</t>
        </is>
      </c>
      <c r="F14" t="n">
        <v>75</v>
      </c>
      <c r="G14" s="4" t="n">
        <v>19.99</v>
      </c>
      <c r="H14" s="5" t="n">
        <v>0.04</v>
      </c>
      <c r="I14" s="4">
        <f>F14*G14*(1-H14)</f>
        <v/>
      </c>
      <c r="J14" t="inlineStr">
        <is>
          <t>Pending</t>
        </is>
      </c>
    </row>
    <row r="15">
      <c r="A15" t="inlineStr">
        <is>
          <t>ORD-1012</t>
        </is>
      </c>
      <c r="B15" s="3" t="n">
        <v>45799</v>
      </c>
      <c r="C15" t="inlineStr">
        <is>
          <t>East</t>
        </is>
      </c>
      <c r="D15" t="inlineStr">
        <is>
          <t>J. Kim</t>
        </is>
      </c>
      <c r="E15" t="inlineStr">
        <is>
          <t>Widget-B</t>
        </is>
      </c>
      <c r="F15" t="n">
        <v>110</v>
      </c>
      <c r="G15" s="4" t="n">
        <v>29.5</v>
      </c>
      <c r="H15" s="5" t="n">
        <v>0.05</v>
      </c>
      <c r="I15" s="4">
        <f>F15*G15*(1-H15)</f>
        <v/>
      </c>
      <c r="J15" t="inlineStr">
        <is>
          <t>Closed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Monthly Revenue Summary</t>
        </is>
      </c>
    </row>
    <row r="3">
      <c r="A3" s="7" t="inlineStr">
        <is>
          <t>Month</t>
        </is>
      </c>
      <c r="B3" s="7" t="inlineStr">
        <is>
          <t>Orders</t>
        </is>
      </c>
      <c r="C3" s="7" t="inlineStr">
        <is>
          <t>GrossRevenue</t>
        </is>
      </c>
      <c r="D3" s="7" t="inlineStr">
        <is>
          <t>ClosedRevenue</t>
        </is>
      </c>
      <c r="E3" s="7" t="inlineStr">
        <is>
          <t>Target</t>
        </is>
      </c>
      <c r="F3" s="7" t="inlineStr">
        <is>
          <t>Variance</t>
        </is>
      </c>
    </row>
    <row r="4">
      <c r="A4" t="inlineStr">
        <is>
          <t>Jan</t>
        </is>
      </c>
      <c r="B4">
        <f>COUNTIFS(Orders!B:B,"&gt;="&amp;DATE(2025,1,1),Orders!B:B,"&lt;"&amp;DATE(2025,2,1))</f>
        <v/>
      </c>
      <c r="C4" s="4">
        <f>SUMIFS(Orders!I:I,Orders!B:B,"&gt;="&amp;DATE(2025,1,1),Orders!B:B,"&lt;"&amp;DATE(2025,2,1))</f>
        <v/>
      </c>
      <c r="D4" s="4">
        <f>SUMIFS(Orders!I:I,Orders!B:B,"&gt;="&amp;DATE(2025,1,1),Orders!B:B,"&lt;"&amp;DATE(2025,2,1),Orders!J:J,"Closed")</f>
        <v/>
      </c>
      <c r="E4" s="4" t="n">
        <v>3500</v>
      </c>
      <c r="F4" s="4">
        <f>D4-E4</f>
        <v/>
      </c>
    </row>
    <row r="5">
      <c r="A5" t="inlineStr">
        <is>
          <t>Feb</t>
        </is>
      </c>
      <c r="B5">
        <f>COUNTIFS(Orders!B:B,"&gt;="&amp;DATE(2025,2,1),Orders!B:B,"&lt;"&amp;DATE(2025,3,1))</f>
        <v/>
      </c>
      <c r="C5" s="4">
        <f>SUMIFS(Orders!I:I,Orders!B:B,"&gt;="&amp;DATE(2025,2,1),Orders!B:B,"&lt;"&amp;DATE(2025,3,1))</f>
        <v/>
      </c>
      <c r="D5" s="4">
        <f>SUMIFS(Orders!I:I,Orders!B:B,"&gt;="&amp;DATE(2025,2,1),Orders!B:B,"&lt;"&amp;DATE(2025,3,1),Orders!J:J,"Closed")</f>
        <v/>
      </c>
      <c r="E5" s="4" t="n">
        <v>7000</v>
      </c>
      <c r="F5" s="4">
        <f>D5-E5</f>
        <v/>
      </c>
    </row>
    <row r="6">
      <c r="A6" t="inlineStr">
        <is>
          <t>Mar</t>
        </is>
      </c>
      <c r="B6">
        <f>COUNTIFS(Orders!B:B,"&gt;="&amp;DATE(2025,3,1),Orders!B:B,"&lt;"&amp;DATE(2025,4,1))</f>
        <v/>
      </c>
      <c r="C6" s="4">
        <f>SUMIFS(Orders!I:I,Orders!B:B,"&gt;="&amp;DATE(2025,3,1),Orders!B:B,"&lt;"&amp;DATE(2025,4,1))</f>
        <v/>
      </c>
      <c r="D6" s="4">
        <f>SUMIFS(Orders!I:I,Orders!B:B,"&gt;="&amp;DATE(2025,3,1),Orders!B:B,"&lt;"&amp;DATE(2025,4,1),Orders!J:J,"Closed")</f>
        <v/>
      </c>
      <c r="E6" s="4" t="n">
        <v>6500</v>
      </c>
      <c r="F6" s="4">
        <f>D6-E6</f>
        <v/>
      </c>
    </row>
    <row r="7">
      <c r="A7" t="inlineStr">
        <is>
          <t>Apr</t>
        </is>
      </c>
      <c r="B7">
        <f>COUNTIFS(Orders!B:B,"&gt;="&amp;DATE(2025,4,1),Orders!B:B,"&lt;"&amp;DATE(2025,5,1))</f>
        <v/>
      </c>
      <c r="C7" s="4">
        <f>SUMIFS(Orders!I:I,Orders!B:B,"&gt;="&amp;DATE(2025,4,1),Orders!B:B,"&lt;"&amp;DATE(2025,5,1))</f>
        <v/>
      </c>
      <c r="D7" s="4">
        <f>SUMIFS(Orders!I:I,Orders!B:B,"&gt;="&amp;DATE(2025,4,1),Orders!B:B,"&lt;"&amp;DATE(2025,5,1),Orders!J:J,"Closed")</f>
        <v/>
      </c>
      <c r="E7" s="4" t="n">
        <v>8000</v>
      </c>
      <c r="F7" s="4">
        <f>D7-E7</f>
        <v/>
      </c>
    </row>
    <row r="8">
      <c r="A8" t="inlineStr">
        <is>
          <t>May</t>
        </is>
      </c>
      <c r="B8">
        <f>COUNTIFS(Orders!B:B,"&gt;="&amp;DATE(2025,5,1),Orders!B:B,"&lt;"&amp;DATE(2025,6,1))</f>
        <v/>
      </c>
      <c r="C8" s="4">
        <f>SUMIFS(Orders!I:I,Orders!B:B,"&gt;="&amp;DATE(2025,5,1),Orders!B:B,"&lt;"&amp;DATE(2025,6,1))</f>
        <v/>
      </c>
      <c r="D8" s="4">
        <f>SUMIFS(Orders!I:I,Orders!B:B,"&gt;="&amp;DATE(2025,5,1),Orders!B:B,"&lt;"&amp;DATE(2025,6,1),Orders!J:J,"Closed")</f>
        <v/>
      </c>
      <c r="E8" s="4" t="n">
        <v>9000</v>
      </c>
      <c r="F8" s="4">
        <f>D8-E8</f>
        <v/>
      </c>
    </row>
    <row r="9">
      <c r="A9" t="inlineStr">
        <is>
          <t>Jun</t>
        </is>
      </c>
      <c r="B9">
        <f>COUNTIFS(Orders!B:B,"&gt;="&amp;DATE(2025,6,1),Orders!B:B,"&lt;"&amp;DATE(2025,7,1))</f>
        <v/>
      </c>
      <c r="C9" s="4">
        <f>SUMIFS(Orders!I:I,Orders!B:B,"&gt;="&amp;DATE(2025,6,1),Orders!B:B,"&lt;"&amp;DATE(2025,7,1))</f>
        <v/>
      </c>
      <c r="D9" s="4">
        <f>SUMIFS(Orders!I:I,Orders!B:B,"&gt;="&amp;DATE(2025,6,1),Orders!B:B,"&lt;"&amp;DATE(2025,7,1),Orders!J:J,"Closed")</f>
        <v/>
      </c>
      <c r="E9" s="4" t="n">
        <v>10000</v>
      </c>
      <c r="F9" s="4">
        <f>D9-E9</f>
        <v/>
      </c>
    </row>
    <row r="11">
      <c r="A11" t="inlineStr">
        <is>
          <t>YTD Closed Revenue</t>
        </is>
      </c>
      <c r="B11" s="4">
        <f>SUM(D4:D9)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hidden="1" width="16" customWidth="1" min="7" max="7"/>
  </cols>
  <sheetData>
    <row r="1">
      <c r="A1" s="7" t="inlineStr">
        <is>
          <t>SKU</t>
        </is>
      </c>
      <c r="B1" s="7" t="inlineStr">
        <is>
          <t>Category</t>
        </is>
      </c>
      <c r="C1" s="7" t="inlineStr">
        <is>
          <t>OnHand</t>
        </is>
      </c>
      <c r="D1" s="7" t="inlineStr">
        <is>
          <t>ReorderPoint</t>
        </is>
      </c>
      <c r="E1" s="7" t="inlineStr">
        <is>
          <t>ReorderFlag</t>
        </is>
      </c>
      <c r="F1" s="7" t="inlineStr">
        <is>
          <t>LastCounted</t>
        </is>
      </c>
      <c r="G1" s="7" t="inlineStr">
        <is>
          <t>Warehouse</t>
        </is>
      </c>
    </row>
    <row r="2">
      <c r="A2" t="inlineStr">
        <is>
          <t>SKU-001</t>
        </is>
      </c>
      <c r="B2" t="inlineStr">
        <is>
          <t>Widgets</t>
        </is>
      </c>
      <c r="C2" t="n">
        <v>44</v>
      </c>
      <c r="D2" t="n">
        <v>50</v>
      </c>
      <c r="E2">
        <f>IF(C2="","UNKNOWN",IF(C2&lt;=D2,"REORDER","OK"))</f>
        <v/>
      </c>
      <c r="F2" s="3" t="n">
        <v>45778</v>
      </c>
      <c r="G2" t="inlineStr">
        <is>
          <t>WH-A</t>
        </is>
      </c>
    </row>
    <row r="3">
      <c r="A3" t="inlineStr">
        <is>
          <t>SKU-002</t>
        </is>
      </c>
      <c r="B3" t="inlineStr">
        <is>
          <t>Widgets</t>
        </is>
      </c>
      <c r="C3" t="n">
        <v>120</v>
      </c>
      <c r="D3" t="n">
        <v>80</v>
      </c>
      <c r="E3">
        <f>IF(C3="","UNKNOWN",IF(C3&lt;=D3,"REORDER","OK"))</f>
        <v/>
      </c>
      <c r="F3" s="3" t="n">
        <v>45787</v>
      </c>
      <c r="G3" t="inlineStr">
        <is>
          <t>WH-B</t>
        </is>
      </c>
    </row>
    <row r="4">
      <c r="A4" t="inlineStr">
        <is>
          <t>SKU-003</t>
        </is>
      </c>
      <c r="B4" t="inlineStr">
        <is>
          <t>Services</t>
        </is>
      </c>
      <c r="D4" t="n">
        <v>0</v>
      </c>
      <c r="E4">
        <f>IF(C4="","UNKNOWN",IF(C4&lt;=D4,"REORDER","OK"))</f>
        <v/>
      </c>
      <c r="F4" s="3" t="n"/>
      <c r="G4" t="inlineStr">
        <is>
          <t>N/A</t>
        </is>
      </c>
    </row>
    <row r="5" hidden="1">
      <c r="A5" t="inlineStr">
        <is>
          <t>SKU-004</t>
        </is>
      </c>
      <c r="B5" t="inlineStr">
        <is>
          <t>Bundles</t>
        </is>
      </c>
      <c r="C5" t="n">
        <v>7</v>
      </c>
      <c r="D5" t="n">
        <v>20</v>
      </c>
      <c r="E5">
        <f>IF(C5="","UNKNOWN",IF(C5&lt;=D5,"REORDER","OK"))</f>
        <v/>
      </c>
      <c r="F5" s="3" t="n">
        <v>45769</v>
      </c>
      <c r="G5" t="inlineStr">
        <is>
          <t>WH-A</t>
        </is>
      </c>
    </row>
    <row r="6">
      <c r="A6" t="inlineStr">
        <is>
          <t>SKU-005</t>
        </is>
      </c>
      <c r="B6" t="inlineStr">
        <is>
          <t>Widgets</t>
        </is>
      </c>
      <c r="C6" t="n">
        <v>0</v>
      </c>
      <c r="D6" t="n">
        <v>25</v>
      </c>
      <c r="E6">
        <f>IF(C6="","UNKNOWN",IF(C6&lt;=D6,"REORDER","OK"))</f>
        <v/>
      </c>
      <c r="F6" s="3" t="n">
        <v>45795</v>
      </c>
      <c r="G6" t="inlineStr">
        <is>
          <t>WH-C</t>
        </is>
      </c>
    </row>
    <row r="7">
      <c r="A7" t="inlineStr">
        <is>
          <t>SKU-006</t>
        </is>
      </c>
      <c r="B7" t="inlineStr">
        <is>
          <t>Legacy</t>
        </is>
      </c>
      <c r="C7" t="n">
        <v>16</v>
      </c>
      <c r="D7" t="n">
        <v>16</v>
      </c>
      <c r="E7">
        <f>IF(C7="","UNKNOWN",IF(C7&lt;=D7,"REORDER","OK"))</f>
        <v/>
      </c>
      <c r="F7" s="3" t="n">
        <v>45700</v>
      </c>
      <c r="G7" t="inlineStr">
        <is>
          <t>WH-OLD</t>
        </is>
      </c>
    </row>
    <row r="9">
      <c r="A9" t="inlineStr">
        <is>
          <t>Note:</t>
        </is>
      </c>
      <c r="B9" t="inlineStr">
        <is>
          <t>Includes missing and legacy records for edge-case testing.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source_system</t>
        </is>
      </c>
      <c r="B2" t="inlineStr">
        <is>
          <t>ERP-42</t>
        </is>
      </c>
    </row>
    <row r="3">
      <c r="A3" t="inlineStr">
        <is>
          <t>extract_date</t>
        </is>
      </c>
      <c r="B3" t="inlineStr">
        <is>
          <t>2026-05-22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owner_email</t>
        </is>
      </c>
      <c r="B5" t="inlineStr">
        <is>
          <t>analytics@example.com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2026-05-23T03:54:23Z</dcterms:created>
  <dcterms:modified xsi:type="dcterms:W3CDTF">2026-05-23T03:54:23Z</dcterms:modified>
</cp:coreProperties>
</file>